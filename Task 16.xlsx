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 activeTab="1"/>
  </bookViews>
  <sheets>
    <sheet name="Raw Data" sheetId="1" r:id="rId1"/>
    <sheet name="Profit Analysi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8" i="2"/>
  <c r="C5" i="2"/>
  <c r="C6" i="2"/>
  <c r="C4" i="2"/>
  <c r="B6" i="2"/>
  <c r="B5" i="2"/>
  <c r="B4" i="2"/>
</calcChain>
</file>

<file path=xl/sharedStrings.xml><?xml version="1.0" encoding="utf-8"?>
<sst xmlns="http://schemas.openxmlformats.org/spreadsheetml/2006/main" count="79838" uniqueCount="629">
  <si>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</si>
  <si>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</si>
  <si>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</si>
  <si>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</si>
  <si>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</si>
  <si>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</si>
  <si>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</si>
  <si>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</si>
  <si>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</si>
  <si>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</si>
  <si>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</si>
  <si>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</si>
  <si>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</si>
  <si>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</si>
  <si>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</si>
  <si>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</si>
  <si>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</si>
  <si>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</si>
  <si>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</si>
  <si>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</si>
  <si>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</si>
  <si>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</si>
  <si>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</si>
  <si>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</si>
  <si>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</si>
  <si>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</si>
  <si>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</si>
  <si>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</si>
  <si>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</si>
  <si>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</si>
  <si>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</si>
  <si>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</si>
  <si>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</si>
  <si>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</si>
  <si>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</si>
  <si>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</si>
  <si>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</si>
  <si>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</si>
  <si>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</si>
  <si>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</si>
  <si>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</si>
  <si>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</si>
  <si>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</si>
  <si>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</si>
  <si>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</si>
  <si>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</si>
  <si>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</si>
  <si>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</si>
  <si>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</si>
  <si>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</si>
  <si>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</si>
  <si>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</si>
  <si>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</si>
  <si>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</si>
  <si>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</si>
  <si>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</si>
  <si>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</si>
  <si>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</si>
  <si>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</si>
  <si>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</si>
  <si>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</si>
  <si>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</si>
  <si>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</si>
  <si>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</si>
  <si>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</si>
  <si>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</si>
  <si>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</si>
  <si>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</si>
  <si>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</si>
  <si>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</si>
  <si>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</si>
  <si>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</si>
  <si>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</si>
  <si>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</si>
  <si>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</si>
  <si>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</si>
  <si>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</si>
  <si>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</si>
  <si>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</si>
  <si>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</si>
  <si>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</si>
  <si>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</si>
  <si>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</si>
  <si>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</si>
  <si>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</si>
  <si>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</si>
  <si>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</si>
  <si>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</si>
  <si>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</si>
  <si>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</si>
  <si>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</si>
  <si>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</si>
  <si>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</si>
  <si>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</si>
  <si>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</si>
  <si>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</si>
  <si>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</si>
  <si>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</si>
  <si>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</si>
  <si>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</si>
  <si>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</si>
  <si>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</si>
  <si>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</si>
  <si>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</si>
  <si>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</si>
  <si>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</si>
  <si>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</si>
  <si>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</si>
  <si>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</si>
  <si>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</si>
  <si>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</si>
  <si>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</si>
  <si>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</si>
  <si>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</si>
  <si>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</si>
  <si>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</si>
  <si>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</si>
  <si>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</si>
  <si>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</si>
  <si>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</si>
  <si>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</si>
  <si>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</si>
  <si>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</si>
  <si>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</si>
  <si>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</si>
  <si>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</si>
  <si>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</si>
  <si>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</si>
  <si>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</si>
  <si>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</si>
  <si>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</si>
  <si>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</si>
  <si>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</si>
  <si>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</si>
  <si>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</si>
  <si>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</si>
  <si>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</si>
  <si>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</si>
  <si>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</si>
  <si>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</si>
  <si>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</si>
  <si>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</si>
  <si>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</si>
  <si>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</si>
  <si>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</si>
  <si>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</si>
  <si>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</si>
  <si>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</si>
  <si>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</si>
  <si>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</si>
  <si>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</si>
  <si>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</si>
  <si>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</si>
  <si>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</si>
  <si>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</si>
  <si>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</si>
  <si>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</si>
  <si>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</si>
  <si>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</si>
  <si>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</si>
  <si>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</si>
  <si>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</si>
  <si>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</si>
  <si>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</si>
  <si>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</si>
  <si>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</si>
  <si>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</si>
  <si>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</si>
  <si>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</si>
  <si>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</si>
  <si>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</si>
  <si>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</si>
  <si>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</si>
  <si>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</si>
  <si>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</si>
  <si>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</si>
  <si>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</si>
  <si>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</si>
  <si>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</si>
  <si>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</si>
  <si>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</si>
  <si>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</si>
  <si>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</si>
  <si>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</si>
  <si>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</si>
  <si>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</si>
  <si>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</si>
  <si>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</si>
  <si>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</si>
  <si>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</si>
  <si>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</si>
  <si>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</si>
  <si>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</si>
  <si>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</si>
  <si>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</si>
  <si>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</si>
  <si>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</si>
  <si>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</si>
  <si>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</si>
  <si>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</si>
  <si>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</si>
  <si>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</si>
  <si>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</si>
  <si>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</si>
  <si>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</si>
  <si>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</si>
  <si>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</si>
  <si>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</si>
  <si>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</si>
  <si>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</si>
  <si>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</si>
  <si>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</si>
  <si>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</si>
  <si>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</si>
  <si>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</si>
  <si>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</si>
  <si>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</si>
  <si>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</si>
  <si>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</si>
  <si>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</si>
  <si>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</si>
  <si>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</si>
  <si>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</si>
  <si>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</si>
  <si>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</si>
  <si>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</si>
  <si>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</si>
  <si>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</si>
  <si>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</si>
  <si>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</si>
  <si>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</si>
  <si>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</si>
  <si>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</si>
  <si>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</si>
  <si>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</si>
  <si>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</si>
  <si>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</si>
  <si>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</si>
  <si>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</si>
  <si>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</si>
  <si>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</si>
  <si>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</si>
  <si>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</si>
  <si>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</si>
  <si>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</si>
  <si>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</si>
  <si>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</si>
  <si>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</si>
  <si>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</si>
  <si>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</si>
  <si>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</si>
  <si>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</si>
  <si>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</si>
  <si>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</si>
  <si>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</si>
  <si>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</si>
  <si>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</si>
  <si>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</si>
  <si>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</si>
  <si>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</si>
  <si>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</si>
  <si>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</si>
  <si>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</si>
  <si>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</si>
  <si>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</si>
  <si>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</si>
  <si>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</si>
  <si>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</si>
  <si>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</si>
  <si>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</si>
  <si>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</si>
  <si>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</si>
  <si>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</si>
  <si>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</si>
  <si>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</si>
  <si>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</si>
  <si>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</si>
  <si>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</si>
  <si>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</si>
  <si>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</si>
  <si>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</si>
  <si>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</si>
  <si>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</si>
  <si>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</si>
  <si>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</si>
  <si>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</si>
  <si>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</si>
  <si>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</si>
  <si>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</si>
  <si>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</si>
  <si>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</si>
  <si>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</si>
  <si>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</si>
  <si>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</si>
  <si>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</si>
  <si>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</si>
  <si>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</si>
  <si>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</si>
  <si>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</si>
  <si>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</si>
  <si>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</si>
  <si>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</si>
  <si>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</si>
  <si>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</si>
  <si>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</si>
  <si>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</si>
  <si>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</si>
  <si>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</si>
  <si>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</si>
  <si>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</si>
  <si>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</si>
  <si>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</si>
  <si>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</si>
  <si>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</si>
  <si>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</si>
  <si>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</si>
  <si>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</si>
  <si>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</si>
  <si>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</si>
  <si>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</si>
  <si>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</si>
  <si>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</si>
  <si>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</si>
  <si>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</si>
  <si>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</si>
  <si>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</si>
  <si>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</si>
  <si>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</si>
  <si>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</si>
  <si>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</si>
  <si>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</si>
  <si>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</si>
  <si>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</si>
  <si>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</si>
  <si>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</si>
  <si>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</si>
  <si>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</si>
  <si>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</si>
  <si>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</si>
  <si>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</si>
  <si>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</si>
  <si>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</si>
  <si>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</si>
  <si>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</si>
  <si>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</si>
  <si>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</si>
  <si>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</si>
  <si>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</si>
  <si>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</si>
  <si>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</si>
  <si>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</si>
  <si>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</si>
  <si>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</si>
  <si>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</si>
  <si>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</si>
  <si>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</si>
  <si>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</si>
  <si>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</si>
  <si>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</si>
  <si>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</si>
  <si>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</si>
  <si>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</si>
  <si>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</si>
  <si>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</si>
  <si>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</si>
  <si>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</si>
  <si>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</si>
  <si>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</si>
  <si>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</si>
  <si>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</si>
  <si>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</si>
  <si>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</si>
  <si>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</si>
  <si>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</si>
  <si>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</si>
  <si>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</si>
  <si>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</si>
  <si>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</si>
  <si>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</si>
  <si>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</si>
  <si>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</si>
  <si>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</si>
  <si>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</si>
  <si>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</si>
  <si>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</si>
  <si>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</si>
  <si>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</si>
  <si>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</si>
  <si>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</si>
  <si>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</si>
  <si>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</si>
  <si>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</si>
  <si>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</si>
  <si>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</si>
  <si>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</si>
  <si>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</si>
  <si>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</si>
  <si>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</si>
  <si>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</si>
  <si>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</si>
  <si>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</si>
  <si>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</si>
  <si>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</si>
  <si>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</si>
  <si>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</si>
  <si>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</si>
  <si>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</si>
  <si>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</si>
  <si>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</si>
  <si>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</si>
  <si>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</si>
  <si>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</si>
  <si>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</si>
  <si>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</si>
  <si>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</si>
  <si>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</si>
  <si>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</si>
  <si>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</si>
  <si>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</si>
  <si>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</si>
  <si>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</si>
  <si>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</si>
  <si>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</si>
  <si>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</si>
  <si>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</si>
  <si>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</si>
  <si>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</si>
  <si>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</si>
  <si>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</si>
  <si>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</si>
  <si>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</si>
  <si>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</si>
  <si>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</si>
  <si>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</si>
  <si>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</si>
  <si>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</si>
  <si>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</si>
  <si>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</si>
  <si>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</si>
  <si>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</si>
  <si>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</si>
  <si>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</si>
  <si>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</si>
  <si>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</si>
  <si>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</si>
  <si>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</si>
  <si>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</si>
  <si>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</si>
  <si>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</si>
  <si>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</si>
  <si>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</si>
  <si>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</si>
  <si>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</si>
  <si>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</si>
  <si>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</si>
  <si>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</si>
  <si>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</si>
  <si>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</si>
  <si>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</si>
  <si>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</si>
  <si>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</si>
  <si>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</si>
  <si>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</si>
  <si>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</si>
  <si>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</si>
  <si>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</si>
  <si>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</si>
  <si>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</si>
  <si>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</si>
  <si>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</si>
  <si>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</si>
  <si>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</si>
  <si>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</si>
  <si>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</si>
  <si>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</si>
  <si>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</si>
  <si>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</si>
  <si>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</si>
  <si>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</si>
  <si>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</si>
  <si>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</si>
  <si>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</si>
  <si>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</si>
  <si>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</si>
  <si>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</si>
  <si>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</si>
  <si>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</si>
  <si>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</si>
  <si>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</si>
  <si>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</si>
  <si>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</si>
  <si>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</si>
  <si>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</si>
  <si>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</si>
  <si>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</si>
  <si>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</si>
  <si>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</si>
  <si>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</si>
  <si>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</si>
  <si>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</si>
  <si>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</si>
  <si>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</si>
  <si>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</si>
  <si>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</si>
  <si>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</si>
  <si>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</si>
  <si>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</si>
  <si>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</si>
  <si>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</si>
  <si>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</si>
  <si>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</si>
  <si>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</si>
  <si>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</si>
  <si>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</si>
  <si>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</si>
  <si>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</si>
  <si>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</si>
  <si>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</si>
  <si>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</si>
  <si>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</si>
  <si>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</si>
  <si>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</si>
  <si>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</si>
  <si>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</si>
  <si>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</si>
  <si>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</si>
  <si>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</si>
  <si>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</si>
  <si>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</si>
  <si>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</si>
  <si>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</si>
  <si>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</si>
  <si>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</si>
  <si>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</si>
  <si>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</si>
  <si>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</si>
  <si>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</si>
  <si>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</si>
  <si>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</si>
  <si>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</si>
  <si>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</si>
  <si>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</si>
  <si>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</si>
  <si>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</si>
  <si>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</si>
  <si>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</si>
  <si>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</si>
  <si>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</si>
  <si>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</si>
  <si>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</si>
  <si>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</si>
  <si>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</si>
  <si>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</si>
  <si>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</si>
  <si>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</si>
  <si>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</si>
  <si>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</si>
  <si>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</si>
  <si>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</si>
  <si>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</si>
  <si>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</si>
  <si>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</si>
  <si>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</si>
  <si>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</si>
  <si>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</si>
  <si>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</si>
  <si>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</si>
  <si>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</si>
  <si>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</si>
  <si>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</si>
  <si>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</si>
  <si>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</si>
  <si>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</si>
  <si>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</si>
  <si>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</si>
  <si>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</si>
  <si>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</si>
  <si>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</si>
  <si>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</si>
  <si>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</si>
  <si>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</si>
  <si>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</si>
  <si>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</si>
  <si>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</si>
  <si>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</si>
  <si>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</si>
  <si>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</si>
  <si>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</si>
  <si>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</si>
  <si>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</si>
  <si>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</si>
  <si>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</si>
  <si>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</si>
  <si>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</si>
  <si>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</si>
  <si>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</si>
  <si>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</si>
  <si>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</si>
  <si>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</si>
  <si>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</si>
  <si>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</si>
  <si>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</si>
  <si>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</si>
  <si>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</si>
  <si>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</si>
  <si>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</si>
  <si>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</si>
  <si>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</si>
  <si>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</si>
  <si>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</si>
  <si>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</si>
  <si>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</si>
  <si>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</si>
  <si>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</si>
  <si>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</si>
  <si>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</si>
  <si>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</si>
  <si>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</si>
  <si>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</si>
  <si>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</si>
  <si>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</si>
  <si>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</si>
  <si>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</si>
  <si>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</si>
  <si>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Profit</t>
  </si>
  <si>
    <t>Average Profit</t>
  </si>
  <si>
    <t>Highest Total Profit Category</t>
  </si>
  <si>
    <t>Highest Total Profit</t>
  </si>
  <si>
    <t>Simple Profit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</si>
</sst>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8" fontId="0" fillId="0" borderId="8" xfId="0" applyNumberFormat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8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Analysis'!$B$4:$B$6</c:f>
              <c:numCache>
                <c:formatCode>"$"#,##0.00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282552"/>
        <c:axId val="366282944"/>
      </c:barChart>
      <c:catAx>
        <c:axId val="366282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82944"/>
        <c:crosses val="autoZero"/>
        <c:auto val="1"/>
        <c:lblAlgn val="ctr"/>
        <c:lblOffset val="100"/>
        <c:noMultiLvlLbl val="0"/>
      </c:catAx>
      <c:valAx>
        <c:axId val="3662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368440582858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82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231775</xdr:colOff>
      <xdr:row>8</xdr:row>
      <xdr:rowOff>76200</xdr:rowOff>
    </xdr:from>
    <xdr:to>
      <xdr:col>8</xdr:col>
      <xdr:colOff>384175</xdr:colOff>
      <xdr:row>20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" displayName="Superstore" ref="A1:M9978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78"/>
  <sheetViews>
    <sheetView workbookViewId="0">
      <pane ySplit="1" topLeftCell="A2" activePane="bottomLeft" state="frozen"/>
      <selection pane="bottomLeft" sqref="A1:M9978"/>
    </sheetView>
  </sheetViews>
  <sheetFormatPr defaultRowHeight="14.5" x14ac:dyDescent="0.35"/>
  <cols>
    <col min="1" max="1" width="11.7265625" customWidth="1"/>
    <col min="2" max="2" width="10.08984375" customWidth="1"/>
    <col min="3" max="3" width="9.54296875" customWidth="1"/>
    <col min="6" max="6" width="12.7265625" customWidth="1"/>
    <col min="8" max="8" width="10.26953125" customWidth="1"/>
    <col min="9" max="9" width="14" customWidth="1"/>
    <col min="11" max="12" width="10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0" sqref="B10"/>
    </sheetView>
  </sheetViews>
  <sheetFormatPr defaultRowHeight="14.5" x14ac:dyDescent="0.35"/>
  <cols>
    <col min="1" max="1" width="27" customWidth="1"/>
    <col min="2" max="3" width="19.6328125" customWidth="1"/>
  </cols>
  <sheetData>
    <row r="1" spans="1:4" x14ac:dyDescent="0.35">
      <c r="A1" s="2" t="s">
        <v>628</v>
      </c>
      <c r="B1" s="2"/>
      <c r="C1" s="2"/>
      <c r="D1" s="2"/>
    </row>
    <row r="2" spans="1:4" ht="15" thickBot="1" x14ac:dyDescent="0.4">
      <c r="A2" s="1"/>
      <c r="B2" s="1"/>
      <c r="C2" s="1"/>
      <c r="D2" s="1"/>
    </row>
    <row r="3" spans="1:4" x14ac:dyDescent="0.35">
      <c r="A3" s="4" t="s">
        <v>7</v>
      </c>
      <c r="B3" s="5" t="s">
        <v>624</v>
      </c>
      <c r="C3" s="6" t="s">
        <v>625</v>
      </c>
      <c r="D3" s="1"/>
    </row>
    <row r="4" spans="1:4" x14ac:dyDescent="0.35">
      <c r="A4" s="7" t="s">
        <v>19</v>
      </c>
      <c r="B4" s="3">
        <f>SUMIF(Superstore[Category],A4,Superstore[Profit])</f>
        <v>18421.813700000006</v>
      </c>
      <c r="C4" s="8">
        <f>AVERAGEIF(Superstore[Category],A4,Superstore[Profit])</f>
        <v>8.697740179414545</v>
      </c>
      <c r="D4" s="1"/>
    </row>
    <row r="5" spans="1:4" x14ac:dyDescent="0.35">
      <c r="A5" s="7" t="s">
        <v>26</v>
      </c>
      <c r="B5" s="3">
        <f>SUMIF(Superstore[Category],A5,Superstore[Profit])</f>
        <v>122364.66080000011</v>
      </c>
      <c r="C5" s="8">
        <f>AVERAGEIF(Superstore[Category],A5,Superstore[Profit])</f>
        <v>20.353403326679992</v>
      </c>
      <c r="D5" s="1"/>
    </row>
    <row r="6" spans="1:4" ht="15" thickBot="1" x14ac:dyDescent="0.4">
      <c r="A6" s="9" t="s">
        <v>35</v>
      </c>
      <c r="B6" s="10">
        <f>SUMIF(Superstore[Category],A6,Superstore[Profit])</f>
        <v>145454.94809999989</v>
      </c>
      <c r="C6" s="11">
        <f>AVERAGEIF(Superstore[Category],A6,Superstore[Profit])</f>
        <v>78.752002219815864</v>
      </c>
      <c r="D6" s="1"/>
    </row>
    <row r="7" spans="1:4" ht="15" thickBot="1" x14ac:dyDescent="0.4">
      <c r="A7" s="1"/>
      <c r="B7" s="1"/>
      <c r="C7" s="1"/>
      <c r="D7" s="1"/>
    </row>
    <row r="8" spans="1:4" x14ac:dyDescent="0.35">
      <c r="A8" s="4" t="s">
        <v>626</v>
      </c>
      <c r="B8" s="12" t="str">
        <f>INDEX(A4:A6,MATCH(MAX(B4:B6),B4:B6,0))</f>
        <v>Technology</v>
      </c>
      <c r="C8" s="1"/>
      <c r="D8" s="1"/>
    </row>
    <row r="9" spans="1:4" ht="15" thickBot="1" x14ac:dyDescent="0.4">
      <c r="A9" s="13" t="s">
        <v>627</v>
      </c>
      <c r="B9" s="14">
        <f>MAX(B4:B6)</f>
        <v>145454.94809999989</v>
      </c>
      <c r="C9" s="1"/>
      <c r="D9" s="1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Profit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2026-09-23T13:22:08Z</dcterms:created>
  <dcterms:modified xsi:type="dcterms:W3CDTF">2026-09-23T14:30:03Z</dcterms:modified>
</cp:coreProperties>
</file>